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Проекты\02.Испытательное оборудование (антенны, площадки, измерители и тд)\!Неопределенность измерений\"/>
    </mc:Choice>
  </mc:AlternateContent>
  <xr:revisionPtr revIDLastSave="0" documentId="13_ncr:1_{1E0F2FD9-3ADC-4F38-82B3-D4C4647A6FB8}" xr6:coauthVersionLast="47" xr6:coauthVersionMax="47" xr10:uidLastSave="{00000000-0000-0000-0000-000000000000}"/>
  <bookViews>
    <workbookView xWindow="-33495" yWindow="2115" windowWidth="22290" windowHeight="15885" xr2:uid="{632AE1F1-60E6-468A-B25E-81993672BD77}"/>
  </bookViews>
  <sheets>
    <sheet name="Max" sheetId="3" r:id="rId1"/>
    <sheet name="Разъем N" sheetId="1" r:id="rId2"/>
    <sheet name="Разъем Ph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3" l="1"/>
  <c r="B16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B15" i="3"/>
  <c r="A15" i="3"/>
  <c r="B3" i="3"/>
  <c r="B4" i="3"/>
  <c r="B5" i="3"/>
  <c r="B6" i="3"/>
  <c r="B7" i="3"/>
  <c r="B8" i="3"/>
  <c r="B9" i="3"/>
  <c r="B10" i="3"/>
  <c r="B11" i="3"/>
  <c r="B12" i="3"/>
  <c r="B13" i="3"/>
  <c r="B14" i="3"/>
  <c r="A3" i="3"/>
  <c r="A4" i="3"/>
  <c r="A5" i="3"/>
  <c r="A6" i="3"/>
  <c r="A7" i="3"/>
  <c r="A8" i="3"/>
  <c r="A9" i="3"/>
  <c r="A10" i="3"/>
  <c r="A11" i="3"/>
  <c r="A12" i="3"/>
  <c r="A13" i="3"/>
  <c r="A14" i="3"/>
  <c r="B2" i="3"/>
  <c r="A2" i="3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F15" i="2"/>
  <c r="I15" i="2" s="1"/>
  <c r="F14" i="2"/>
  <c r="I14" i="2" s="1"/>
  <c r="F13" i="2"/>
  <c r="I13" i="2" s="1"/>
  <c r="F12" i="2"/>
  <c r="I12" i="2" s="1"/>
  <c r="F11" i="2"/>
  <c r="I11" i="2" s="1"/>
  <c r="F10" i="2"/>
  <c r="I10" i="2" s="1"/>
  <c r="F9" i="2"/>
  <c r="I9" i="2" s="1"/>
  <c r="F8" i="2"/>
  <c r="I8" i="2" s="1"/>
  <c r="F7" i="2"/>
  <c r="I7" i="2" s="1"/>
  <c r="F6" i="2"/>
  <c r="I6" i="2" s="1"/>
  <c r="F5" i="2"/>
  <c r="I5" i="2" s="1"/>
  <c r="F4" i="2"/>
  <c r="I4" i="2" s="1"/>
  <c r="F3" i="2"/>
  <c r="I3" i="2" s="1"/>
  <c r="F2" i="2"/>
  <c r="I2" i="2" s="1"/>
  <c r="F11" i="1"/>
  <c r="I11" i="1" s="1"/>
  <c r="F12" i="1"/>
  <c r="I12" i="1" s="1"/>
  <c r="F13" i="1"/>
  <c r="I13" i="1" s="1"/>
  <c r="F14" i="1"/>
  <c r="I14" i="1" s="1"/>
  <c r="F15" i="1"/>
  <c r="I15" i="1" s="1"/>
  <c r="F2" i="1"/>
  <c r="I2" i="1" s="1"/>
  <c r="F3" i="1"/>
  <c r="I3" i="1" s="1"/>
  <c r="F4" i="1"/>
  <c r="I4" i="1" s="1"/>
  <c r="F5" i="1"/>
  <c r="I5" i="1" s="1"/>
  <c r="F6" i="1"/>
  <c r="I6" i="1" s="1"/>
  <c r="F7" i="1"/>
  <c r="I7" i="1" s="1"/>
  <c r="F8" i="1"/>
  <c r="I8" i="1" s="1"/>
  <c r="F9" i="1"/>
  <c r="I9" i="1" s="1"/>
  <c r="F10" i="1"/>
  <c r="I10" i="1" s="1"/>
</calcChain>
</file>

<file path=xl/sharedStrings.xml><?xml version="1.0" encoding="utf-8"?>
<sst xmlns="http://schemas.openxmlformats.org/spreadsheetml/2006/main" count="22" uniqueCount="13">
  <si>
    <t>Частота F, МГц</t>
  </si>
  <si>
    <t>|Z|, Ом</t>
  </si>
  <si>
    <t>U, Ом</t>
  </si>
  <si>
    <t>δ|Z|, Ом</t>
  </si>
  <si>
    <t>|Z|/|Z_nom|</t>
  </si>
  <si>
    <t>|Z_nom|, Ом</t>
  </si>
  <si>
    <t>|Z|/|Z_nom|, дБ</t>
  </si>
  <si>
    <t>Столбец1</t>
  </si>
  <si>
    <t>U/|Z_nom|</t>
  </si>
  <si>
    <t>U/|Z_nom|, дБ</t>
  </si>
  <si>
    <t>Max|Z|/|Z_nom|, дБ</t>
  </si>
  <si>
    <t>Min|Z|/|Z_nom|, дБ</t>
  </si>
  <si>
    <t>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</si>
</sst>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6">
    <border>
      <left/>
      <right/>
      <top/>
      <bottom/>
      <diagonal/>
    </border>
    <border>
      <left style="medium">
        <color theme="8" tint="-0.249977111117893"/>
      </left>
      <right style="medium">
        <color theme="8" tint="-0.249977111117893"/>
      </right>
      <top style="medium">
        <color theme="8" tint="-0.249977111117893"/>
      </top>
      <bottom style="medium">
        <color theme="8" tint="-0.249977111117893"/>
      </bottom>
      <diagonal/>
    </border>
    <border>
      <left style="medium">
        <color theme="8" tint="-0.249977111117893"/>
      </left>
      <right style="medium">
        <color theme="8" tint="-0.249977111117893"/>
      </right>
      <top/>
      <bottom/>
      <diagonal/>
    </border>
    <border>
      <left style="medium">
        <color theme="8" tint="-0.249977111117893"/>
      </left>
      <right style="medium">
        <color theme="8" tint="-0.249977111117893"/>
      </right>
      <top/>
      <bottom style="medium">
        <color theme="8" tint="-0.249977111117893"/>
      </bottom>
      <diagonal/>
    </border>
    <border>
      <left/>
      <right/>
      <top style="medium">
        <color theme="8" tint="-0.249977111117893"/>
      </top>
      <bottom style="medium">
        <color theme="8" tint="-0.249977111117893"/>
      </bottom>
      <diagonal/>
    </border>
    <border>
      <left/>
      <right style="medium">
        <color theme="8" tint="-0.249977111117893"/>
      </right>
      <top/>
      <bottom style="medium">
        <color theme="8" tint="-0.249977111117893"/>
      </bottom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0" fontId="0" fillId="0" borderId="0" xfId="0" applyBorder="1"/>
    <xf numFmtId="164" fontId="0" fillId="0" borderId="0" xfId="0" applyNumberFormat="1" applyBorder="1"/>
    <xf numFmtId="164" fontId="0" fillId="0" borderId="2" xfId="0" applyNumberFormat="1" applyBorder="1"/>
    <xf numFmtId="164" fontId="0" fillId="0" borderId="3" xfId="0" applyNumberFormat="1" applyBorder="1"/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0" fillId="0" borderId="4" xfId="0" applyBorder="1"/>
    <xf numFmtId="0" fontId="1" fillId="0" borderId="4" xfId="0" applyFont="1" applyBorder="1"/>
    <xf numFmtId="164" fontId="0" fillId="0" borderId="4" xfId="0" applyNumberFormat="1" applyBorder="1"/>
    <xf numFmtId="164" fontId="0" fillId="0" borderId="1" xfId="0" applyNumberFormat="1" applyBorder="1"/>
    <xf numFmtId="2" fontId="0" fillId="0" borderId="0" xfId="0" applyNumberFormat="1" applyBorder="1"/>
    <xf numFmtId="0" fontId="2" fillId="2" borderId="3" xfId="0" applyFont="1" applyFill="1" applyBorder="1"/>
    <xf numFmtId="164" fontId="2" fillId="2" borderId="3" xfId="0" applyNumberFormat="1" applyFont="1" applyFill="1" applyBorder="1"/>
    <xf numFmtId="164" fontId="2" fillId="2" borderId="5" xfId="0" applyNumberFormat="1" applyFont="1" applyFill="1" applyBorder="1"/>
  </cellXfs>
  <cellStyles count="1">
    <cellStyle name="Обычный" xfId="0" builtinId="0"/>
  </cellStyles>
  <dxfs count="31">
    <dxf>
      <numFmt numFmtId="164" formatCode="0.000"/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numFmt numFmtId="164" formatCode="0.000"/>
    </dxf>
    <dxf>
      <numFmt numFmtId="164" formatCode="0.000"/>
    </dxf>
    <dxf>
      <border outline="0">
        <bottom style="medium">
          <color theme="8" tint="-0.249977111117893"/>
        </bottom>
      </border>
    </dxf>
    <dxf>
      <border outline="0">
        <top style="medium">
          <color theme="8" tint="-0.249977111117893"/>
        </top>
      </border>
    </dxf>
    <dxf>
      <numFmt numFmtId="164" formatCode="0.000"/>
      <border diagonalUp="0" diagonalDown="0">
        <left style="medium">
          <color theme="8" tint="-0.249977111117893"/>
        </left>
        <right style="medium">
          <color theme="8" tint="-0.249977111117893"/>
        </right>
        <top/>
        <bottom/>
        <vertical/>
        <horizontal/>
      </border>
    </dxf>
    <dxf>
      <numFmt numFmtId="164" formatCode="0.000"/>
    </dxf>
    <dxf>
      <numFmt numFmtId="164" formatCode="0.000"/>
    </dxf>
    <dxf>
      <numFmt numFmtId="164" formatCode="0.000"/>
    </dxf>
    <dxf>
      <numFmt numFmtId="2" formatCode="0.00"/>
    </dxf>
    <dxf>
      <border diagonalUp="0" diagonalDown="0">
        <left style="medium">
          <color theme="8" tint="-0.249977111117893"/>
        </left>
        <right style="medium">
          <color theme="8" tint="-0.249977111117893"/>
        </right>
        <top/>
        <bottom/>
        <vertical/>
        <horizontal/>
      </border>
    </dxf>
    <dxf>
      <border diagonalUp="0" diagonalDown="0">
        <left style="medium">
          <color theme="8" tint="-0.249977111117893"/>
        </left>
        <right style="medium">
          <color theme="8" tint="-0.249977111117893"/>
        </right>
        <top style="medium">
          <color theme="8" tint="-0.249977111117893"/>
        </top>
        <bottom style="medium">
          <color theme="8" tint="-0.249977111117893"/>
        </bottom>
      </border>
    </dxf>
    <dxf>
      <border>
        <bottom style="medium">
          <color theme="8" tint="-0.249977111117893"/>
        </bottom>
      </border>
    </dxf>
    <dxf>
      <numFmt numFmtId="164" formatCode="0.000"/>
      <border diagonalUp="0" diagonalDown="0">
        <left style="medium">
          <color theme="8" tint="-0.249977111117893"/>
        </left>
        <right style="medium">
          <color theme="8" tint="-0.249977111117893"/>
        </right>
        <top/>
        <bottom/>
        <vertical/>
        <horizontal/>
      </border>
    </dxf>
    <dxf>
      <numFmt numFmtId="164" formatCode="0.000"/>
    </dxf>
    <dxf>
      <numFmt numFmtId="164" formatCode="0.000"/>
    </dxf>
    <dxf>
      <numFmt numFmtId="164" formatCode="0.000"/>
    </dxf>
    <dxf>
      <numFmt numFmtId="2" formatCode="0.00"/>
    </dxf>
    <dxf>
      <border diagonalUp="0" diagonalDown="0">
        <left style="medium">
          <color theme="8" tint="-0.249977111117893"/>
        </left>
        <right style="medium">
          <color theme="8" tint="-0.249977111117893"/>
        </right>
        <top/>
        <bottom/>
        <vertical/>
        <horizontal/>
      </border>
    </dxf>
    <dxf>
      <border diagonalUp="0" diagonalDown="0">
        <left style="medium">
          <color theme="8" tint="-0.249977111117893"/>
        </left>
        <right style="medium">
          <color theme="8" tint="-0.249977111117893"/>
        </right>
        <top style="medium">
          <color theme="8" tint="-0.249977111117893"/>
        </top>
        <bottom style="medium">
          <color theme="8" tint="-0.249977111117893"/>
        </bottom>
      </border>
    </dxf>
    <dxf>
      <border>
        <bottom style="medium">
          <color theme="8" tint="-0.249977111117893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CC9FAD-0325-417E-BFAB-22DA7E878CDE}" name="Таблица3" displayName="Таблица3" ref="A1:C16" totalsRowCount="1" headerRowBorderDxfId="13" tableBorderDxfId="14">
  <autoFilter ref="A1:C15" xr:uid="{95CC9FAD-0325-417E-BFAB-22DA7E878CDE}">
    <filterColumn colId="0" hiddenButton="1"/>
    <filterColumn colId="1" hiddenButton="1"/>
    <filterColumn colId="2" hiddenButton="1"/>
  </autoFilter>
  <tableColumns count="3">
    <tableColumn id="1" xr3:uid="{A0B3BE2F-AFC0-4E9A-95DA-A4E59826CE51}" name="Частота F, МГц" totalsRowLabel="Итог">
      <calculatedColumnFormula>Таблица1[[#This Row],[Частота F, МГц]]</calculatedColumnFormula>
    </tableColumn>
    <tableColumn id="2" xr3:uid="{E779DC6F-7612-4FC2-927F-F9CF26103631}" name="Max|Z|/|Z_nom|, дБ" totalsRowFunction="max" dataDxfId="12">
      <calculatedColumnFormula>MAX(Таблица1[[#This Row],[|Z|/|Z_nom|, дБ]],Таблица13[[#This Row],[|Z|/|Z_nom|, дБ]])</calculatedColumnFormula>
    </tableColumn>
    <tableColumn id="3" xr3:uid="{990E84DF-F461-4CCC-8382-32BFF26BDA70}" name="Min|Z|/|Z_nom|, дБ" totalsRowFunction="min" dataDxfId="11" totalsRowDxfId="0">
      <calculatedColumnFormula>MIN(Таблица1[[#This Row],[|Z|/|Z_nom|, дБ]],Таблица13[[#This Row],[|Z|/|Z_nom|, дБ]])</calculatedColumnFormula>
    </tableColumn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970CEA-2363-47F0-9598-2E6EDF69515B}" name="Таблица1" displayName="Таблица1" ref="A1:I15" totalsRowShown="0" headerRowBorderDxfId="30" tableBorderDxfId="29">
  <autoFilter ref="A1:I15" xr:uid="{0E970CEA-2363-47F0-9598-2E6EDF69515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2D61A82A-A3E2-464E-BCBE-FBAD907979E1}" name="Частота F, МГц" dataDxfId="28"/>
    <tableColumn id="2" xr3:uid="{63019BCF-F7EE-4955-95DB-C4E5F4FF59CE}" name="|Z|, Ом"/>
    <tableColumn id="3" xr3:uid="{5987B388-F100-49EE-862C-2F6E0BD9D0ED}" name="U, Ом"/>
    <tableColumn id="4" xr3:uid="{2728AA81-CC69-470B-818C-E45126062D9B}" name="δ|Z|, Ом"/>
    <tableColumn id="5" xr3:uid="{E2AD02DC-95E5-4808-BED4-9342CC75EA30}" name="|Z_nom|, Ом" dataDxfId="27">
      <calculatedColumnFormula>B2-D2</calculatedColumnFormula>
    </tableColumn>
    <tableColumn id="6" xr3:uid="{58CEB738-5239-476A-9C9F-1BB923335A72}" name="|Z|/|Z_nom|" dataDxfId="26">
      <calculatedColumnFormula>B2/E2</calculatedColumnFormula>
    </tableColumn>
    <tableColumn id="8" xr3:uid="{526332B6-3F6F-4755-9200-01D746B4B549}" name="U/|Z_nom|" dataDxfId="25">
      <calculatedColumnFormula>(Таблица1[[#This Row],[U, Ом]]/2)/Таблица1[[#This Row],[|Z_nom|, Ом]]</calculatedColumnFormula>
    </tableColumn>
    <tableColumn id="9" xr3:uid="{2692F210-0E84-4E90-A4BB-3702F5F00D5D}" name="U/|Z_nom|, дБ" dataDxfId="24">
      <calculatedColumnFormula>20*LOG10(1+Таблица1[[#This Row],[U/|Z_nom|]])</calculatedColumnFormula>
    </tableColumn>
    <tableColumn id="7" xr3:uid="{184F804A-5B65-4CA1-9AA9-75349C32D20E}" name="|Z|/|Z_nom|, дБ" dataDxfId="23">
      <calculatedColumnFormula>20*LOG10(F2)</calculatedColumnFormula>
    </tableColumn>
  </tableColumns>
  <tableStyleInfo name="TableStyleMedium6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96C0A5-0F77-4535-A91A-84C91ACE62FA}" name="Таблица13" displayName="Таблица13" ref="A1:I15" totalsRowShown="0" headerRowBorderDxfId="22" tableBorderDxfId="21">
  <autoFilter ref="A1:I15" xr:uid="{F996C0A5-0F77-4535-A91A-84C91ACE62F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380C9D2F-1DEF-44C4-811B-091C1C3044D6}" name="Частота F, МГц" dataDxfId="20"/>
    <tableColumn id="2" xr3:uid="{C74254FD-6309-46EF-A329-72168AD56518}" name="|Z|, Ом"/>
    <tableColumn id="3" xr3:uid="{98BE44E2-6E1C-4524-8538-94AB5DC100EA}" name="U, Ом"/>
    <tableColumn id="4" xr3:uid="{BDA07189-0965-4511-9686-F3EFEA337850}" name="δ|Z|, Ом"/>
    <tableColumn id="5" xr3:uid="{6AF2C7A3-1BBF-4A52-B2A0-1E7868701FDB}" name="|Z_nom|, Ом" dataDxfId="19"/>
    <tableColumn id="6" xr3:uid="{451F75C2-65EE-4942-B751-980F4992906F}" name="|Z|/|Z_nom|" dataDxfId="18">
      <calculatedColumnFormula>B2/E2</calculatedColumnFormula>
    </tableColumn>
    <tableColumn id="8" xr3:uid="{6396BA14-FA3F-439A-96A3-540A4CE0B5E6}" name="U/|Z_nom|" dataDxfId="17">
      <calculatedColumnFormula>(Таблица13[[#This Row],[U, Ом]]/2)/Таблица13[[#This Row],[|Z_nom|, Ом]]</calculatedColumnFormula>
    </tableColumn>
    <tableColumn id="9" xr3:uid="{8CE4DD33-E66A-4755-A8E6-D636D97F678F}" name="Столбец1" dataDxfId="16">
      <calculatedColumnFormula>20*LOG10(1+Таблица13[[#This Row],[U/|Z_nom|]])</calculatedColumnFormula>
    </tableColumn>
    <tableColumn id="7" xr3:uid="{C266CEC3-CF87-4654-9229-F121E138CE87}" name="|Z|/|Z_nom|, дБ" dataDxfId="15">
      <calculatedColumnFormula>20*LOG10(F2)</calculatedColumnFormula>
    </tableColumn>
  </tableColumns>
  <tableStyleInfo name="TableStyleMedium6" showFirstColumn="1" showLastColumn="1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A7B9E-15B8-4D70-998E-BADDBE0967A0}">
  <dimension ref="A1:C16"/>
  <sheetViews>
    <sheetView tabSelected="1" workbookViewId="0">
      <selection activeCell="F18" sqref="F18"/>
    </sheetView>
  </sheetViews>
  <sheetFormatPr defaultRowHeight="15" x14ac:dyDescent="0.25"/>
  <cols>
    <col min="1" max="1" width="16.42578125" customWidth="1"/>
    <col min="2" max="2" width="21" style="1" customWidth="1"/>
    <col min="3" max="3" width="21.85546875" style="1" customWidth="1"/>
  </cols>
  <sheetData>
    <row r="1" spans="1:3" ht="15.75" thickBot="1" x14ac:dyDescent="0.3">
      <c r="A1" s="14" t="s">
        <v>0</v>
      </c>
      <c r="B1" s="15" t="s">
        <v>10</v>
      </c>
      <c r="C1" s="16" t="s">
        <v>11</v>
      </c>
    </row>
    <row r="2" spans="1:3" x14ac:dyDescent="0.25">
      <c r="A2">
        <f>Таблица1[[#This Row],[Частота F, МГц]]</f>
        <v>8.9999999999999993E-3</v>
      </c>
      <c r="B2" s="1">
        <f>MAX(Таблица1[[#This Row],[|Z|/|Z_nom|, дБ]],Таблица13[[#This Row],[|Z|/|Z_nom|, дБ]])</f>
        <v>0.76408705340458571</v>
      </c>
      <c r="C2" s="1">
        <f>MIN(Таблица1[[#This Row],[|Z|/|Z_nom|, дБ]],Таблица13[[#This Row],[|Z|/|Z_nom|, дБ]])</f>
        <v>0.6103504800787648</v>
      </c>
    </row>
    <row r="3" spans="1:3" x14ac:dyDescent="0.25">
      <c r="A3">
        <f>Таблица1[[#This Row],[Частота F, МГц]]</f>
        <v>1.4999999999999999E-2</v>
      </c>
      <c r="B3" s="1">
        <f>MAX(Таблица1[[#This Row],[|Z|/|Z_nom|, дБ]],Таблица13[[#This Row],[|Z|/|Z_nom|, дБ]])</f>
        <v>0.77437056030835194</v>
      </c>
      <c r="C3" s="1">
        <f>MIN(Таблица1[[#This Row],[|Z|/|Z_nom|, дБ]],Таблица13[[#This Row],[|Z|/|Z_nom|, дБ]])</f>
        <v>0.51507101702099989</v>
      </c>
    </row>
    <row r="4" spans="1:3" x14ac:dyDescent="0.25">
      <c r="A4">
        <f>Таблица1[[#This Row],[Частота F, МГц]]</f>
        <v>2.5000000000000001E-2</v>
      </c>
      <c r="B4" s="1">
        <f>MAX(Таблица1[[#This Row],[|Z|/|Z_nom|, дБ]],Таблица13[[#This Row],[|Z|/|Z_nom|, дБ]])</f>
        <v>0.90477859847317266</v>
      </c>
      <c r="C4" s="1">
        <f>MIN(Таблица1[[#This Row],[|Z|/|Z_nom|, дБ]],Таблица13[[#This Row],[|Z|/|Z_nom|, дБ]])</f>
        <v>0.71594747381634016</v>
      </c>
    </row>
    <row r="5" spans="1:3" x14ac:dyDescent="0.25">
      <c r="A5">
        <f>Таблица1[[#This Row],[Частота F, МГц]]</f>
        <v>0.05</v>
      </c>
      <c r="B5" s="1">
        <f>MAX(Таблица1[[#This Row],[|Z|/|Z_nom|, дБ]],Таблица13[[#This Row],[|Z|/|Z_nom|, дБ]])</f>
        <v>0.96323790435720913</v>
      </c>
      <c r="C5" s="1">
        <f>MIN(Таблица1[[#This Row],[|Z|/|Z_nom|, дБ]],Таблица13[[#This Row],[|Z|/|Z_nom|, дБ]])</f>
        <v>0.79986212280866653</v>
      </c>
    </row>
    <row r="6" spans="1:3" x14ac:dyDescent="0.25">
      <c r="A6">
        <f>Таблица1[[#This Row],[Частота F, МГц]]</f>
        <v>0.1</v>
      </c>
      <c r="B6" s="1">
        <f>MAX(Таблица1[[#This Row],[|Z|/|Z_nom|, дБ]],Таблица13[[#This Row],[|Z|/|Z_nom|, дБ]])</f>
        <v>0.59811134578971092</v>
      </c>
      <c r="C6" s="1">
        <f>MIN(Таблица1[[#This Row],[|Z|/|Z_nom|, дБ]],Таблица13[[#This Row],[|Z|/|Z_nom|, дБ]])</f>
        <v>0.50069847836289261</v>
      </c>
    </row>
    <row r="7" spans="1:3" x14ac:dyDescent="0.25">
      <c r="A7">
        <f>Таблица1[[#This Row],[Частота F, МГц]]</f>
        <v>0.15</v>
      </c>
      <c r="B7" s="1">
        <f>MAX(Таблица1[[#This Row],[|Z|/|Z_nom|, дБ]],Таблица13[[#This Row],[|Z|/|Z_nom|, дБ]])</f>
        <v>0.30772806407593578</v>
      </c>
      <c r="C7" s="1">
        <f>MIN(Таблица1[[#This Row],[|Z|/|Z_nom|, дБ]],Таблица13[[#This Row],[|Z|/|Z_nom|, дБ]])</f>
        <v>0.23051964781117376</v>
      </c>
    </row>
    <row r="8" spans="1:3" x14ac:dyDescent="0.25">
      <c r="A8">
        <f>Таблица1[[#This Row],[Частота F, МГц]]</f>
        <v>0.25</v>
      </c>
      <c r="B8" s="1">
        <f>MAX(Таблица1[[#This Row],[|Z|/|Z_nom|, дБ]],Таблица13[[#This Row],[|Z|/|Z_nom|, дБ]])</f>
        <v>-0.28892824627175351</v>
      </c>
      <c r="C8" s="1">
        <f>MIN(Таблица1[[#This Row],[|Z|/|Z_nom|, дБ]],Таблица13[[#This Row],[|Z|/|Z_nom|, дБ]])</f>
        <v>-0.3316108365254688</v>
      </c>
    </row>
    <row r="9" spans="1:3" x14ac:dyDescent="0.25">
      <c r="A9">
        <f>Таблица1[[#This Row],[Частота F, МГц]]</f>
        <v>0.5</v>
      </c>
      <c r="B9" s="1">
        <f>MAX(Таблица1[[#This Row],[|Z|/|Z_nom|, дБ]],Таблица13[[#This Row],[|Z|/|Z_nom|, дБ]])</f>
        <v>-0.38196124619820448</v>
      </c>
      <c r="C9" s="1">
        <f>MIN(Таблица1[[#This Row],[|Z|/|Z_nom|, дБ]],Таблица13[[#This Row],[|Z|/|Z_nom|, дБ]])</f>
        <v>-0.40103016634465638</v>
      </c>
    </row>
    <row r="10" spans="1:3" x14ac:dyDescent="0.25">
      <c r="A10">
        <f>Таблица1[[#This Row],[Частота F, МГц]]</f>
        <v>1</v>
      </c>
      <c r="B10" s="1">
        <f>MAX(Таблица1[[#This Row],[|Z|/|Z_nom|, дБ]],Таблица13[[#This Row],[|Z|/|Z_nom|, дБ]])</f>
        <v>-0.39218173923651412</v>
      </c>
      <c r="C10" s="1">
        <f>MIN(Таблица1[[#This Row],[|Z|/|Z_nom|, дБ]],Таблица13[[#This Row],[|Z|/|Z_nom|, дБ]])</f>
        <v>-0.41060356934034592</v>
      </c>
    </row>
    <row r="11" spans="1:3" x14ac:dyDescent="0.25">
      <c r="A11">
        <f>Таблица1[[#This Row],[Частота F, МГц]]</f>
        <v>3</v>
      </c>
      <c r="B11" s="1">
        <f>MAX(Таблица1[[#This Row],[|Z|/|Z_nom|, дБ]],Таблица13[[#This Row],[|Z|/|Z_nom|, дБ]])</f>
        <v>-0.32432979362555958</v>
      </c>
      <c r="C11" s="1">
        <f>MIN(Таблица1[[#This Row],[|Z|/|Z_nom|, дБ]],Таблица13[[#This Row],[|Z|/|Z_nom|, дБ]])</f>
        <v>-0.34240657359045046</v>
      </c>
    </row>
    <row r="12" spans="1:3" x14ac:dyDescent="0.25">
      <c r="A12">
        <f>Таблица1[[#This Row],[Частота F, МГц]]</f>
        <v>5</v>
      </c>
      <c r="B12" s="1">
        <f>MAX(Таблица1[[#This Row],[|Z|/|Z_nom|, дБ]],Таблица13[[#This Row],[|Z|/|Z_nom|, дБ]])</f>
        <v>-0.27901780292037487</v>
      </c>
      <c r="C12" s="1">
        <f>MIN(Таблица1[[#This Row],[|Z|/|Z_nom|, дБ]],Таблица13[[#This Row],[|Z|/|Z_nom|, дБ]])</f>
        <v>-0.27901780292037487</v>
      </c>
    </row>
    <row r="13" spans="1:3" x14ac:dyDescent="0.25">
      <c r="A13">
        <f>Таблица1[[#This Row],[Частота F, МГц]]</f>
        <v>10</v>
      </c>
      <c r="B13" s="1">
        <f>MAX(Таблица1[[#This Row],[|Z|/|Z_nom|, дБ]],Таблица13[[#This Row],[|Z|/|Z_nom|, дБ]])</f>
        <v>-0.10312375657886655</v>
      </c>
      <c r="C13" s="1">
        <f>MIN(Таблица1[[#This Row],[|Z|/|Z_nom|, дБ]],Таблица13[[#This Row],[|Z|/|Z_nom|, дБ]])</f>
        <v>-0.10312375657886655</v>
      </c>
    </row>
    <row r="14" spans="1:3" x14ac:dyDescent="0.25">
      <c r="A14">
        <f>Таблица1[[#This Row],[Частота F, МГц]]</f>
        <v>20</v>
      </c>
      <c r="B14" s="1">
        <f>MAX(Таблица1[[#This Row],[|Z|/|Z_nom|, дБ]],Таблица13[[#This Row],[|Z|/|Z_nom|, дБ]])</f>
        <v>6.9210642190129776E-2</v>
      </c>
      <c r="C14" s="1">
        <f>MIN(Таблица1[[#This Row],[|Z|/|Z_nom|, дБ]],Таблица13[[#This Row],[|Z|/|Z_nom|, дБ]])</f>
        <v>-3.4813231526025404E-2</v>
      </c>
    </row>
    <row r="15" spans="1:3" x14ac:dyDescent="0.25">
      <c r="A15">
        <f>Таблица1[[#This Row],[Частота F, МГц]]</f>
        <v>30</v>
      </c>
      <c r="B15" s="1">
        <f>MAX(Таблица1[[#This Row],[|Z|/|Z_nom|, дБ]],Таблица13[[#This Row],[|Z|/|Z_nom|, дБ]])</f>
        <v>0.17200343523835138</v>
      </c>
      <c r="C15" s="1">
        <f>MIN(Таблица1[[#This Row],[|Z|/|Z_nom|, дБ]],Таблица13[[#This Row],[|Z|/|Z_nom|, дБ]])</f>
        <v>0.15495556001479896</v>
      </c>
    </row>
    <row r="16" spans="1:3" x14ac:dyDescent="0.25">
      <c r="A16" t="s">
        <v>12</v>
      </c>
      <c r="B16" s="1">
        <f>SUBTOTAL(104,Таблица3[Max|Z|/|Z_nom|, дБ])</f>
        <v>0.96323790435720913</v>
      </c>
      <c r="C16" s="1">
        <f>SUBTOTAL(105,Таблица3[Min|Z|/|Z_nom|, дБ])</f>
        <v>-0.41060356934034592</v>
      </c>
    </row>
  </sheetData>
  <conditionalFormatting sqref="B1">
    <cfRule type="expression" dxfId="10" priority="3">
      <formula>B1=MIN($I$1:$I$15)</formula>
    </cfRule>
    <cfRule type="expression" dxfId="9" priority="4">
      <formula>B1=MAX($I$1:$I$15)</formula>
    </cfRule>
  </conditionalFormatting>
  <conditionalFormatting sqref="C1">
    <cfRule type="expression" dxfId="8" priority="1">
      <formula>C1=MIN($I$1:$I$15)</formula>
    </cfRule>
    <cfRule type="expression" dxfId="7" priority="2">
      <formula>C1=MAX($I$1:$I$15)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510C-14E9-4570-B8B6-3C52023A44C1}">
  <dimension ref="A1:I15"/>
  <sheetViews>
    <sheetView workbookViewId="0">
      <selection activeCell="I1" activeCellId="1" sqref="A1 I1"/>
    </sheetView>
  </sheetViews>
  <sheetFormatPr defaultRowHeight="15" x14ac:dyDescent="0.25"/>
  <cols>
    <col min="1" max="1" width="16.42578125" customWidth="1"/>
    <col min="2" max="2" width="10.140625" customWidth="1"/>
    <col min="4" max="4" width="11.28515625" customWidth="1"/>
    <col min="5" max="5" width="15.140625" customWidth="1"/>
    <col min="6" max="8" width="15" style="1" customWidth="1"/>
    <col min="9" max="9" width="18.42578125" style="1" customWidth="1"/>
  </cols>
  <sheetData>
    <row r="1" spans="1:9" ht="15.75" thickBot="1" x14ac:dyDescent="0.3">
      <c r="A1" s="8" t="s">
        <v>0</v>
      </c>
      <c r="B1" s="9" t="s">
        <v>1</v>
      </c>
      <c r="C1" s="9" t="s">
        <v>2</v>
      </c>
      <c r="D1" s="10" t="s">
        <v>3</v>
      </c>
      <c r="E1" s="9" t="s">
        <v>5</v>
      </c>
      <c r="F1" s="11" t="s">
        <v>4</v>
      </c>
      <c r="G1" s="11" t="s">
        <v>8</v>
      </c>
      <c r="H1" s="11" t="s">
        <v>9</v>
      </c>
      <c r="I1" s="12" t="s">
        <v>6</v>
      </c>
    </row>
    <row r="2" spans="1:9" x14ac:dyDescent="0.25">
      <c r="A2" s="6">
        <v>8.9999999999999993E-3</v>
      </c>
      <c r="B2" s="2">
        <v>5.7</v>
      </c>
      <c r="C2" s="2">
        <v>0.1</v>
      </c>
      <c r="D2" s="2">
        <v>0.5</v>
      </c>
      <c r="E2" s="13">
        <v>5.22</v>
      </c>
      <c r="F2" s="3">
        <f>B2/E2</f>
        <v>1.0919540229885059</v>
      </c>
      <c r="G2" s="3">
        <f>(Таблица1[[#This Row],[U, Ом]]/2)/Таблица1[[#This Row],[|Z_nom|, Ом]]</f>
        <v>9.578544061302683E-3</v>
      </c>
      <c r="H2" s="3">
        <f>20*LOG10(1+Таблица1[[#This Row],[U/|Z_nom|]])</f>
        <v>8.2802244205689712E-2</v>
      </c>
      <c r="I2" s="4">
        <f>20*LOG10(F2)</f>
        <v>0.76408705340458571</v>
      </c>
    </row>
    <row r="3" spans="1:9" x14ac:dyDescent="0.25">
      <c r="A3" s="6">
        <v>1.4999999999999999E-2</v>
      </c>
      <c r="B3" s="2">
        <v>6.6</v>
      </c>
      <c r="C3" s="2">
        <v>0.2</v>
      </c>
      <c r="D3" s="2">
        <v>0.4</v>
      </c>
      <c r="E3" s="13">
        <v>6.22</v>
      </c>
      <c r="F3" s="3">
        <f t="shared" ref="F3:F15" si="0">B3/E3</f>
        <v>1.0610932475884245</v>
      </c>
      <c r="G3" s="3">
        <f>(Таблица1[[#This Row],[U, Ом]]/2)/Таблица1[[#This Row],[|Z_nom|, Ом]]</f>
        <v>1.6077170418006433E-2</v>
      </c>
      <c r="H3" s="3">
        <f>20*LOG10(1+Таблица1[[#This Row],[U/|Z_nom|]])</f>
        <v>0.13853387183132676</v>
      </c>
      <c r="I3" s="4">
        <f t="shared" ref="I3:I15" si="1">20*LOG10(F3)</f>
        <v>0.51507101702099989</v>
      </c>
    </row>
    <row r="4" spans="1:9" x14ac:dyDescent="0.25">
      <c r="A4" s="6">
        <v>2.5000000000000001E-2</v>
      </c>
      <c r="B4" s="2">
        <v>9.1</v>
      </c>
      <c r="C4" s="2">
        <v>0.2</v>
      </c>
      <c r="D4" s="2">
        <v>0.7</v>
      </c>
      <c r="E4" s="13">
        <v>8.3800000000000008</v>
      </c>
      <c r="F4" s="3">
        <f t="shared" si="0"/>
        <v>1.0859188544152742</v>
      </c>
      <c r="G4" s="3">
        <f>(Таблица1[[#This Row],[U, Ом]]/2)/Таблица1[[#This Row],[|Z_nom|, Ом]]</f>
        <v>1.1933174224343675E-2</v>
      </c>
      <c r="H4" s="3">
        <f>20*LOG10(1+Таблица1[[#This Row],[U/|Z_nom|]])</f>
        <v>0.1030366725287457</v>
      </c>
      <c r="I4" s="4">
        <f t="shared" si="1"/>
        <v>0.71594747381634016</v>
      </c>
    </row>
    <row r="5" spans="1:9" x14ac:dyDescent="0.25">
      <c r="A5" s="6">
        <v>0.05</v>
      </c>
      <c r="B5" s="2">
        <v>15.8</v>
      </c>
      <c r="C5" s="2">
        <v>0.4</v>
      </c>
      <c r="D5" s="2">
        <v>1.4</v>
      </c>
      <c r="E5" s="13">
        <v>14.41</v>
      </c>
      <c r="F5" s="3">
        <f t="shared" si="0"/>
        <v>1.0964607911172797</v>
      </c>
      <c r="G5" s="3">
        <f>(Таблица1[[#This Row],[U, Ом]]/2)/Таблица1[[#This Row],[|Z_nom|, Ом]]</f>
        <v>1.3879250520471896E-2</v>
      </c>
      <c r="H5" s="3">
        <f>20*LOG10(1+Таблица1[[#This Row],[U/|Z_nom|]])</f>
        <v>0.11972470240614938</v>
      </c>
      <c r="I5" s="4">
        <f t="shared" si="1"/>
        <v>0.79986212280866653</v>
      </c>
    </row>
    <row r="6" spans="1:9" x14ac:dyDescent="0.25">
      <c r="A6" s="6">
        <v>0.1</v>
      </c>
      <c r="B6" s="2">
        <v>26.6</v>
      </c>
      <c r="C6" s="2">
        <v>0.6</v>
      </c>
      <c r="D6" s="2">
        <v>1.5</v>
      </c>
      <c r="E6" s="13">
        <v>25.11</v>
      </c>
      <c r="F6" s="3">
        <f t="shared" si="0"/>
        <v>1.0593389088012746</v>
      </c>
      <c r="G6" s="3">
        <f>(Таблица1[[#This Row],[U, Ом]]/2)/Таблица1[[#This Row],[|Z_nom|, Ом]]</f>
        <v>1.1947431302270013E-2</v>
      </c>
      <c r="H6" s="3">
        <f>20*LOG10(1+Таблица1[[#This Row],[U/|Z_nom|]])</f>
        <v>0.10315904674893875</v>
      </c>
      <c r="I6" s="4">
        <f t="shared" si="1"/>
        <v>0.50069847836289261</v>
      </c>
    </row>
    <row r="7" spans="1:9" x14ac:dyDescent="0.25">
      <c r="A7" s="6">
        <v>0.15</v>
      </c>
      <c r="B7" s="2">
        <v>33.6</v>
      </c>
      <c r="C7" s="2">
        <v>0.8</v>
      </c>
      <c r="D7" s="2">
        <v>-0.7</v>
      </c>
      <c r="E7" s="13">
        <v>32.72</v>
      </c>
      <c r="F7" s="3">
        <f t="shared" si="0"/>
        <v>1.0268948655256724</v>
      </c>
      <c r="G7" s="3">
        <f>(Таблица1[[#This Row],[U, Ом]]/2)/Таблица1[[#This Row],[|Z_nom|, Ом]]</f>
        <v>1.2224938875305624E-2</v>
      </c>
      <c r="H7" s="3">
        <f>20*LOG10(1+Таблица1[[#This Row],[U/|Z_nom|]])</f>
        <v>0.10554066227114385</v>
      </c>
      <c r="I7" s="4">
        <f t="shared" si="1"/>
        <v>0.23051964781117376</v>
      </c>
    </row>
    <row r="8" spans="1:9" x14ac:dyDescent="0.25">
      <c r="A8" s="6">
        <v>0.25</v>
      </c>
      <c r="B8" s="2">
        <v>40.6</v>
      </c>
      <c r="C8" s="2">
        <v>1</v>
      </c>
      <c r="D8" s="2">
        <v>-1.5</v>
      </c>
      <c r="E8" s="13">
        <v>42.18</v>
      </c>
      <c r="F8" s="3">
        <f t="shared" si="0"/>
        <v>0.96254148885727842</v>
      </c>
      <c r="G8" s="3">
        <f>(Таблица1[[#This Row],[U, Ом]]/2)/Таблица1[[#This Row],[|Z_nom|, Ом]]</f>
        <v>1.1853959222380275E-2</v>
      </c>
      <c r="H8" s="3">
        <f>20*LOG10(1+Таблица1[[#This Row],[U/|Z_nom|]])</f>
        <v>0.10235670697929411</v>
      </c>
      <c r="I8" s="4">
        <f t="shared" si="1"/>
        <v>-0.3316108365254688</v>
      </c>
    </row>
    <row r="9" spans="1:9" x14ac:dyDescent="0.25">
      <c r="A9" s="6">
        <v>0.5</v>
      </c>
      <c r="B9" s="2">
        <v>45.5</v>
      </c>
      <c r="C9" s="2">
        <v>1.1000000000000001</v>
      </c>
      <c r="D9" s="2">
        <v>-2.1</v>
      </c>
      <c r="E9" s="13">
        <v>47.65</v>
      </c>
      <c r="F9" s="3">
        <f t="shared" si="0"/>
        <v>0.95487932843651624</v>
      </c>
      <c r="G9" s="3">
        <f>(Таблица1[[#This Row],[U, Ом]]/2)/Таблица1[[#This Row],[|Z_nom|, Ом]]</f>
        <v>1.1542497376705143E-2</v>
      </c>
      <c r="H9" s="3">
        <f>20*LOG10(1+Таблица1[[#This Row],[U/|Z_nom|]])</f>
        <v>9.968266529008693E-2</v>
      </c>
      <c r="I9" s="4">
        <f t="shared" si="1"/>
        <v>-0.40103016634465638</v>
      </c>
    </row>
    <row r="10" spans="1:9" x14ac:dyDescent="0.25">
      <c r="A10" s="6">
        <v>1</v>
      </c>
      <c r="B10" s="2">
        <v>47.1</v>
      </c>
      <c r="C10" s="2">
        <v>1.1000000000000001</v>
      </c>
      <c r="D10" s="2">
        <v>-2.2999999999999998</v>
      </c>
      <c r="E10" s="13">
        <v>49.38</v>
      </c>
      <c r="F10" s="3">
        <f t="shared" si="0"/>
        <v>0.95382746051032807</v>
      </c>
      <c r="G10" s="3">
        <f>(Таблица1[[#This Row],[U, Ом]]/2)/Таблица1[[#This Row],[|Z_nom|, Ом]]</f>
        <v>1.1138112596192792E-2</v>
      </c>
      <c r="H10" s="3">
        <f>20*LOG10(1+Таблица1[[#This Row],[U/|Z_nom|]])</f>
        <v>9.6209609183924377E-2</v>
      </c>
      <c r="I10" s="4">
        <f t="shared" si="1"/>
        <v>-0.41060356934034592</v>
      </c>
    </row>
    <row r="11" spans="1:9" x14ac:dyDescent="0.25">
      <c r="A11" s="6">
        <v>3</v>
      </c>
      <c r="B11" s="2">
        <v>48</v>
      </c>
      <c r="C11" s="2">
        <v>1.1000000000000001</v>
      </c>
      <c r="D11" s="2">
        <v>-1.9</v>
      </c>
      <c r="E11" s="13">
        <v>49.93</v>
      </c>
      <c r="F11" s="3">
        <f t="shared" si="0"/>
        <v>0.9613458842379331</v>
      </c>
      <c r="G11" s="3">
        <f>(Таблица1[[#This Row],[U, Ом]]/2)/Таблица1[[#This Row],[|Z_nom|, Ом]]</f>
        <v>1.1015421590226318E-2</v>
      </c>
      <c r="H11" s="3">
        <f>20*LOG10(1+Таблица1[[#This Row],[U/|Z_nom|]])</f>
        <v>9.5155603619362941E-2</v>
      </c>
      <c r="I11" s="4">
        <f t="shared" si="1"/>
        <v>-0.34240657359045046</v>
      </c>
    </row>
    <row r="12" spans="1:9" x14ac:dyDescent="0.25">
      <c r="A12" s="6">
        <v>5</v>
      </c>
      <c r="B12" s="2">
        <v>48.4</v>
      </c>
      <c r="C12" s="2">
        <v>1.2</v>
      </c>
      <c r="D12" s="2">
        <v>-1.6</v>
      </c>
      <c r="E12" s="13">
        <v>49.98</v>
      </c>
      <c r="F12" s="3">
        <f t="shared" si="0"/>
        <v>0.96838735494197681</v>
      </c>
      <c r="G12" s="3">
        <f>(Таблица1[[#This Row],[U, Ом]]/2)/Таблица1[[#This Row],[|Z_nom|, Ом]]</f>
        <v>1.2004801920768308E-2</v>
      </c>
      <c r="H12" s="3">
        <f>20*LOG10(1+Таблица1[[#This Row],[U/|Z_nom|]])</f>
        <v>0.10365146435909525</v>
      </c>
      <c r="I12" s="4">
        <f t="shared" si="1"/>
        <v>-0.27901780292037487</v>
      </c>
    </row>
    <row r="13" spans="1:9" x14ac:dyDescent="0.25">
      <c r="A13" s="6">
        <v>10</v>
      </c>
      <c r="B13" s="2">
        <v>49.4</v>
      </c>
      <c r="C13" s="2">
        <v>1.2</v>
      </c>
      <c r="D13" s="2">
        <v>-0.6</v>
      </c>
      <c r="E13" s="13">
        <v>49.99</v>
      </c>
      <c r="F13" s="3">
        <f t="shared" si="0"/>
        <v>0.98819763952790551</v>
      </c>
      <c r="G13" s="3">
        <f>(Таблица1[[#This Row],[U, Ом]]/2)/Таблица1[[#This Row],[|Z_nom|, Ом]]</f>
        <v>1.2002400480096018E-2</v>
      </c>
      <c r="H13" s="3">
        <f>20*LOG10(1+Таблица1[[#This Row],[U/|Z_nom|]])</f>
        <v>0.10363085311954297</v>
      </c>
      <c r="I13" s="4">
        <f t="shared" si="1"/>
        <v>-0.10312375657886655</v>
      </c>
    </row>
    <row r="14" spans="1:9" x14ac:dyDescent="0.25">
      <c r="A14" s="6">
        <v>20</v>
      </c>
      <c r="B14" s="2">
        <v>50.4</v>
      </c>
      <c r="C14" s="2">
        <v>1.2</v>
      </c>
      <c r="D14" s="2">
        <v>0.4</v>
      </c>
      <c r="E14" s="13">
        <v>50</v>
      </c>
      <c r="F14" s="3">
        <f t="shared" si="0"/>
        <v>1.008</v>
      </c>
      <c r="G14" s="3">
        <f>(Таблица1[[#This Row],[U, Ом]]/2)/Таблица1[[#This Row],[|Z_nom|, Ом]]</f>
        <v>1.2E-2</v>
      </c>
      <c r="H14" s="3">
        <f>20*LOG10(1+Таблица1[[#This Row],[U/|Z_nom|]])</f>
        <v>0.10361025007560629</v>
      </c>
      <c r="I14" s="4">
        <f t="shared" si="1"/>
        <v>6.9210642190129776E-2</v>
      </c>
    </row>
    <row r="15" spans="1:9" ht="15.75" thickBot="1" x14ac:dyDescent="0.3">
      <c r="A15" s="7">
        <v>30</v>
      </c>
      <c r="B15" s="2">
        <v>50.9</v>
      </c>
      <c r="C15" s="2">
        <v>1.2</v>
      </c>
      <c r="D15" s="2">
        <v>0.9</v>
      </c>
      <c r="E15" s="13">
        <v>50</v>
      </c>
      <c r="F15" s="3">
        <f t="shared" si="0"/>
        <v>1.018</v>
      </c>
      <c r="G15" s="3">
        <f>(Таблица1[[#This Row],[U, Ом]]/2)/Таблица1[[#This Row],[|Z_nom|, Ом]]</f>
        <v>1.2E-2</v>
      </c>
      <c r="H15" s="3">
        <f>20*LOG10(1+Таблица1[[#This Row],[U/|Z_nom|]])</f>
        <v>0.10361025007560629</v>
      </c>
      <c r="I15" s="5">
        <f t="shared" si="1"/>
        <v>0.15495556001479896</v>
      </c>
    </row>
  </sheetData>
  <conditionalFormatting sqref="I1:I1048576">
    <cfRule type="expression" dxfId="6" priority="2">
      <formula>I1=MIN($I$1:$I$15)</formula>
    </cfRule>
    <cfRule type="expression" dxfId="5" priority="3">
      <formula>I1=MAX($I$1:$I$15)</formula>
    </cfRule>
  </conditionalFormatting>
  <conditionalFormatting sqref="G1:H1048576">
    <cfRule type="expression" dxfId="4" priority="1">
      <formula>G1=MAX($G$1:$G$15)</formula>
    </cfRule>
  </conditionalFormatting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ECF3E-C131-41A1-9CDF-44E31681EE12}">
  <dimension ref="A1:I15"/>
  <sheetViews>
    <sheetView workbookViewId="0">
      <selection activeCell="A2" sqref="A2"/>
    </sheetView>
  </sheetViews>
  <sheetFormatPr defaultRowHeight="15" x14ac:dyDescent="0.25"/>
  <cols>
    <col min="1" max="1" width="16.42578125" customWidth="1"/>
    <col min="2" max="2" width="10.140625" customWidth="1"/>
    <col min="4" max="4" width="11.28515625" customWidth="1"/>
    <col min="5" max="5" width="15.140625" customWidth="1"/>
    <col min="6" max="8" width="15" style="1" customWidth="1"/>
    <col min="9" max="9" width="18.42578125" style="1" customWidth="1"/>
  </cols>
  <sheetData>
    <row r="1" spans="1:9" ht="15.75" thickBot="1" x14ac:dyDescent="0.3">
      <c r="A1" s="8" t="s">
        <v>0</v>
      </c>
      <c r="B1" s="9" t="s">
        <v>1</v>
      </c>
      <c r="C1" s="9" t="s">
        <v>2</v>
      </c>
      <c r="D1" s="10" t="s">
        <v>3</v>
      </c>
      <c r="E1" s="9" t="s">
        <v>5</v>
      </c>
      <c r="F1" s="11" t="s">
        <v>4</v>
      </c>
      <c r="G1" s="11" t="s">
        <v>8</v>
      </c>
      <c r="H1" s="11" t="s">
        <v>7</v>
      </c>
      <c r="I1" s="12" t="s">
        <v>6</v>
      </c>
    </row>
    <row r="2" spans="1:9" x14ac:dyDescent="0.25">
      <c r="A2" s="6">
        <v>8.9999999999999993E-3</v>
      </c>
      <c r="B2" s="2">
        <v>5.6</v>
      </c>
      <c r="C2" s="2">
        <v>0.1</v>
      </c>
      <c r="D2" s="2">
        <v>0.4</v>
      </c>
      <c r="E2" s="13">
        <v>5.22</v>
      </c>
      <c r="F2" s="3">
        <f>B2/E2</f>
        <v>1.0727969348659003</v>
      </c>
      <c r="G2" s="3">
        <f>(Таблица13[[#This Row],[U, Ом]]/2)/Таблица13[[#This Row],[|Z_nom|, Ом]]</f>
        <v>9.578544061302683E-3</v>
      </c>
      <c r="H2" s="3">
        <f>20*LOG10(1+Таблица13[[#This Row],[U/|Z_nom|]])</f>
        <v>8.2802244205689712E-2</v>
      </c>
      <c r="I2" s="4">
        <f>20*LOG10(F2)</f>
        <v>0.6103504800787648</v>
      </c>
    </row>
    <row r="3" spans="1:9" x14ac:dyDescent="0.25">
      <c r="A3" s="6">
        <v>1.4999999999999999E-2</v>
      </c>
      <c r="B3" s="2">
        <v>6.8</v>
      </c>
      <c r="C3" s="2">
        <v>0.2</v>
      </c>
      <c r="D3" s="2">
        <v>0.6</v>
      </c>
      <c r="E3" s="13">
        <v>6.22</v>
      </c>
      <c r="F3" s="3">
        <f t="shared" ref="F3:F15" si="0">B3/E3</f>
        <v>1.0932475884244373</v>
      </c>
      <c r="G3" s="3">
        <f>(Таблица13[[#This Row],[U, Ом]]/2)/Таблица13[[#This Row],[|Z_nom|, Ом]]</f>
        <v>1.6077170418006433E-2</v>
      </c>
      <c r="H3" s="3">
        <f>20*LOG10(1+Таблица13[[#This Row],[U/|Z_nom|]])</f>
        <v>0.13853387183132676</v>
      </c>
      <c r="I3" s="4">
        <f t="shared" ref="I3:I15" si="1">20*LOG10(F3)</f>
        <v>0.77437056030835194</v>
      </c>
    </row>
    <row r="4" spans="1:9" x14ac:dyDescent="0.25">
      <c r="A4" s="6">
        <v>2.5000000000000001E-2</v>
      </c>
      <c r="B4" s="2">
        <v>9.3000000000000007</v>
      </c>
      <c r="C4" s="2">
        <v>0.2</v>
      </c>
      <c r="D4" s="2">
        <v>1</v>
      </c>
      <c r="E4" s="13">
        <v>8.3800000000000008</v>
      </c>
      <c r="F4" s="3">
        <f t="shared" si="0"/>
        <v>1.1097852028639619</v>
      </c>
      <c r="G4" s="3">
        <f>(Таблица13[[#This Row],[U, Ом]]/2)/Таблица13[[#This Row],[|Z_nom|, Ом]]</f>
        <v>1.1933174224343675E-2</v>
      </c>
      <c r="H4" s="3">
        <f>20*LOG10(1+Таблица13[[#This Row],[U/|Z_nom|]])</f>
        <v>0.1030366725287457</v>
      </c>
      <c r="I4" s="4">
        <f t="shared" si="1"/>
        <v>0.90477859847317266</v>
      </c>
    </row>
    <row r="5" spans="1:9" x14ac:dyDescent="0.25">
      <c r="A5" s="6">
        <v>0.05</v>
      </c>
      <c r="B5" s="2">
        <v>16.100000000000001</v>
      </c>
      <c r="C5" s="2">
        <v>0.4</v>
      </c>
      <c r="D5" s="2">
        <v>1.7</v>
      </c>
      <c r="E5" s="13">
        <v>14.41</v>
      </c>
      <c r="F5" s="3">
        <f t="shared" si="0"/>
        <v>1.1172796668979876</v>
      </c>
      <c r="G5" s="3">
        <f>(Таблица13[[#This Row],[U, Ом]]/2)/Таблица13[[#This Row],[|Z_nom|, Ом]]</f>
        <v>1.3879250520471896E-2</v>
      </c>
      <c r="H5" s="3">
        <f>20*LOG10(1+Таблица13[[#This Row],[U/|Z_nom|]])</f>
        <v>0.11972470240614938</v>
      </c>
      <c r="I5" s="4">
        <f t="shared" si="1"/>
        <v>0.96323790435720913</v>
      </c>
    </row>
    <row r="6" spans="1:9" x14ac:dyDescent="0.25">
      <c r="A6" s="6">
        <v>0.1</v>
      </c>
      <c r="B6" s="2">
        <v>26.9</v>
      </c>
      <c r="C6" s="2">
        <v>0.6</v>
      </c>
      <c r="D6" s="2">
        <v>1.8</v>
      </c>
      <c r="E6" s="13">
        <v>25.11</v>
      </c>
      <c r="F6" s="3">
        <f t="shared" si="0"/>
        <v>1.0712863401035444</v>
      </c>
      <c r="G6" s="3">
        <f>(Таблица13[[#This Row],[U, Ом]]/2)/Таблица13[[#This Row],[|Z_nom|, Ом]]</f>
        <v>1.1947431302270013E-2</v>
      </c>
      <c r="H6" s="3">
        <f>20*LOG10(1+Таблица13[[#This Row],[U/|Z_nom|]])</f>
        <v>0.10315904674893875</v>
      </c>
      <c r="I6" s="4">
        <f t="shared" si="1"/>
        <v>0.59811134578971092</v>
      </c>
    </row>
    <row r="7" spans="1:9" x14ac:dyDescent="0.25">
      <c r="A7" s="6">
        <v>0.15</v>
      </c>
      <c r="B7" s="2">
        <v>33.9</v>
      </c>
      <c r="C7" s="2">
        <v>0.8</v>
      </c>
      <c r="D7" s="2">
        <v>-0.4</v>
      </c>
      <c r="E7" s="13">
        <v>32.72</v>
      </c>
      <c r="F7" s="3">
        <f t="shared" si="0"/>
        <v>1.0360635696821516</v>
      </c>
      <c r="G7" s="3">
        <f>(Таблица13[[#This Row],[U, Ом]]/2)/Таблица13[[#This Row],[|Z_nom|, Ом]]</f>
        <v>1.2224938875305624E-2</v>
      </c>
      <c r="H7" s="3">
        <f>20*LOG10(1+Таблица13[[#This Row],[U/|Z_nom|]])</f>
        <v>0.10554066227114385</v>
      </c>
      <c r="I7" s="4">
        <f t="shared" si="1"/>
        <v>0.30772806407593578</v>
      </c>
    </row>
    <row r="8" spans="1:9" x14ac:dyDescent="0.25">
      <c r="A8" s="6">
        <v>0.25</v>
      </c>
      <c r="B8" s="2">
        <v>40.799999999999997</v>
      </c>
      <c r="C8" s="2">
        <v>1</v>
      </c>
      <c r="D8" s="2">
        <v>-1.4</v>
      </c>
      <c r="E8" s="13">
        <v>42.18</v>
      </c>
      <c r="F8" s="3">
        <f t="shared" si="0"/>
        <v>0.96728307254623036</v>
      </c>
      <c r="G8" s="3">
        <f>(Таблица13[[#This Row],[U, Ом]]/2)/Таблица13[[#This Row],[|Z_nom|, Ом]]</f>
        <v>1.1853959222380275E-2</v>
      </c>
      <c r="H8" s="3">
        <f>20*LOG10(1+Таблица13[[#This Row],[U/|Z_nom|]])</f>
        <v>0.10235670697929411</v>
      </c>
      <c r="I8" s="4">
        <f t="shared" si="1"/>
        <v>-0.28892824627175351</v>
      </c>
    </row>
    <row r="9" spans="1:9" x14ac:dyDescent="0.25">
      <c r="A9" s="6">
        <v>0.5</v>
      </c>
      <c r="B9" s="2">
        <v>45.6</v>
      </c>
      <c r="C9" s="2">
        <v>1.1000000000000001</v>
      </c>
      <c r="D9" s="2">
        <v>-2.1</v>
      </c>
      <c r="E9" s="13">
        <v>47.65</v>
      </c>
      <c r="F9" s="3">
        <f t="shared" si="0"/>
        <v>0.95697796432318993</v>
      </c>
      <c r="G9" s="3">
        <f>(Таблица13[[#This Row],[U, Ом]]/2)/Таблица13[[#This Row],[|Z_nom|, Ом]]</f>
        <v>1.1542497376705143E-2</v>
      </c>
      <c r="H9" s="3">
        <f>20*LOG10(1+Таблица13[[#This Row],[U/|Z_nom|]])</f>
        <v>9.968266529008693E-2</v>
      </c>
      <c r="I9" s="4">
        <f t="shared" si="1"/>
        <v>-0.38196124619820448</v>
      </c>
    </row>
    <row r="10" spans="1:9" x14ac:dyDescent="0.25">
      <c r="A10" s="6">
        <v>1</v>
      </c>
      <c r="B10" s="2">
        <v>47.2</v>
      </c>
      <c r="C10" s="2">
        <v>1.1000000000000001</v>
      </c>
      <c r="D10" s="2">
        <v>-2.2000000000000002</v>
      </c>
      <c r="E10" s="13">
        <v>49.38</v>
      </c>
      <c r="F10" s="3">
        <f t="shared" si="0"/>
        <v>0.95585257189145401</v>
      </c>
      <c r="G10" s="3">
        <f>(Таблица13[[#This Row],[U, Ом]]/2)/Таблица13[[#This Row],[|Z_nom|, Ом]]</f>
        <v>1.1138112596192792E-2</v>
      </c>
      <c r="H10" s="3">
        <f>20*LOG10(1+Таблица13[[#This Row],[U/|Z_nom|]])</f>
        <v>9.6209609183924377E-2</v>
      </c>
      <c r="I10" s="4">
        <f t="shared" si="1"/>
        <v>-0.39218173923651412</v>
      </c>
    </row>
    <row r="11" spans="1:9" x14ac:dyDescent="0.25">
      <c r="A11" s="6">
        <v>3</v>
      </c>
      <c r="B11" s="2">
        <v>48.1</v>
      </c>
      <c r="C11" s="2">
        <v>1.1000000000000001</v>
      </c>
      <c r="D11" s="2">
        <v>-1.8</v>
      </c>
      <c r="E11" s="13">
        <v>49.93</v>
      </c>
      <c r="F11" s="3">
        <f t="shared" si="0"/>
        <v>0.96334868816342878</v>
      </c>
      <c r="G11" s="3">
        <f>(Таблица13[[#This Row],[U, Ом]]/2)/Таблица13[[#This Row],[|Z_nom|, Ом]]</f>
        <v>1.1015421590226318E-2</v>
      </c>
      <c r="H11" s="3">
        <f>20*LOG10(1+Таблица13[[#This Row],[U/|Z_nom|]])</f>
        <v>9.5155603619362941E-2</v>
      </c>
      <c r="I11" s="4">
        <f t="shared" si="1"/>
        <v>-0.32432979362555958</v>
      </c>
    </row>
    <row r="12" spans="1:9" x14ac:dyDescent="0.25">
      <c r="A12" s="6">
        <v>5</v>
      </c>
      <c r="B12" s="2">
        <v>48.4</v>
      </c>
      <c r="C12" s="2">
        <v>1.2</v>
      </c>
      <c r="D12" s="2">
        <v>-1.6</v>
      </c>
      <c r="E12" s="13">
        <v>49.98</v>
      </c>
      <c r="F12" s="3">
        <f t="shared" si="0"/>
        <v>0.96838735494197681</v>
      </c>
      <c r="G12" s="3">
        <f>(Таблица13[[#This Row],[U, Ом]]/2)/Таблица13[[#This Row],[|Z_nom|, Ом]]</f>
        <v>1.2004801920768308E-2</v>
      </c>
      <c r="H12" s="3">
        <f>20*LOG10(1+Таблица13[[#This Row],[U/|Z_nom|]])</f>
        <v>0.10365146435909525</v>
      </c>
      <c r="I12" s="4">
        <f t="shared" si="1"/>
        <v>-0.27901780292037487</v>
      </c>
    </row>
    <row r="13" spans="1:9" x14ac:dyDescent="0.25">
      <c r="A13" s="6">
        <v>10</v>
      </c>
      <c r="B13" s="2">
        <v>49.4</v>
      </c>
      <c r="C13" s="2">
        <v>1.2</v>
      </c>
      <c r="D13" s="2">
        <v>-0.6</v>
      </c>
      <c r="E13" s="13">
        <v>49.99</v>
      </c>
      <c r="F13" s="3">
        <f t="shared" si="0"/>
        <v>0.98819763952790551</v>
      </c>
      <c r="G13" s="3">
        <f>(Таблица13[[#This Row],[U, Ом]]/2)/Таблица13[[#This Row],[|Z_nom|, Ом]]</f>
        <v>1.2002400480096018E-2</v>
      </c>
      <c r="H13" s="3">
        <f>20*LOG10(1+Таблица13[[#This Row],[U/|Z_nom|]])</f>
        <v>0.10363085311954297</v>
      </c>
      <c r="I13" s="4">
        <f t="shared" si="1"/>
        <v>-0.10312375657886655</v>
      </c>
    </row>
    <row r="14" spans="1:9" x14ac:dyDescent="0.25">
      <c r="A14" s="6">
        <v>20</v>
      </c>
      <c r="B14" s="2">
        <v>49.8</v>
      </c>
      <c r="C14" s="2">
        <v>1.2</v>
      </c>
      <c r="D14" s="2">
        <v>-0.2</v>
      </c>
      <c r="E14" s="13">
        <v>50</v>
      </c>
      <c r="F14" s="3">
        <f t="shared" si="0"/>
        <v>0.996</v>
      </c>
      <c r="G14" s="3">
        <f>(Таблица13[[#This Row],[U, Ом]]/2)/Таблица13[[#This Row],[|Z_nom|, Ом]]</f>
        <v>1.2E-2</v>
      </c>
      <c r="H14" s="3">
        <f>20*LOG10(1+Таблица13[[#This Row],[U/|Z_nom|]])</f>
        <v>0.10361025007560629</v>
      </c>
      <c r="I14" s="4">
        <f t="shared" si="1"/>
        <v>-3.4813231526025404E-2</v>
      </c>
    </row>
    <row r="15" spans="1:9" ht="15.75" thickBot="1" x14ac:dyDescent="0.3">
      <c r="A15" s="7">
        <v>30</v>
      </c>
      <c r="B15" s="2">
        <v>51</v>
      </c>
      <c r="C15" s="2">
        <v>1.2</v>
      </c>
      <c r="D15" s="2">
        <v>1</v>
      </c>
      <c r="E15" s="13">
        <v>50</v>
      </c>
      <c r="F15" s="3">
        <f t="shared" si="0"/>
        <v>1.02</v>
      </c>
      <c r="G15" s="3">
        <f>(Таблица13[[#This Row],[U, Ом]]/2)/Таблица13[[#This Row],[|Z_nom|, Ом]]</f>
        <v>1.2E-2</v>
      </c>
      <c r="H15" s="3">
        <f>20*LOG10(1+Таблица13[[#This Row],[U/|Z_nom|]])</f>
        <v>0.10361025007560629</v>
      </c>
      <c r="I15" s="5">
        <f t="shared" si="1"/>
        <v>0.17200343523835138</v>
      </c>
    </row>
  </sheetData>
  <conditionalFormatting sqref="I1:I1048576">
    <cfRule type="expression" dxfId="3" priority="2">
      <formula>I1=MIN($I$1:$I$15)</formula>
    </cfRule>
    <cfRule type="expression" dxfId="2" priority="3">
      <formula>I1=MAX($I$1:$I$15)</formula>
    </cfRule>
  </conditionalFormatting>
  <conditionalFormatting sqref="G1:H1048576">
    <cfRule type="expression" dxfId="1" priority="1">
      <formula>G1=MAX($G$1:$G$15)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Max</vt:lpstr>
      <vt:lpstr>Разъем N</vt:lpstr>
      <vt:lpstr>Разъем 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Галицкий</dc:creator>
  <cp:lastModifiedBy>Дмитрий Галицкий</cp:lastModifiedBy>
  <dcterms:created xsi:type="dcterms:W3CDTF">2026-08-21T12:32:10Z</dcterms:created>
  <dcterms:modified xsi:type="dcterms:W3CDTF">2026-10-07T12:58:51Z</dcterms:modified>
</cp:coreProperties>
</file>